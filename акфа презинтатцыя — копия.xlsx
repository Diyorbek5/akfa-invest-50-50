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931d2f3e72dfbc7/Desktop/"/>
    </mc:Choice>
  </mc:AlternateContent>
  <xr:revisionPtr revIDLastSave="361" documentId="11_F25DC773A252ABDACC1048D7619D4DE45ADE58E6" xr6:coauthVersionLast="47" xr6:coauthVersionMax="47" xr10:uidLastSave="{9E9FFF91-79FF-4490-A639-53E3EB3E32D2}"/>
  <bookViews>
    <workbookView xWindow="-108" yWindow="-108" windowWidth="23256" windowHeight="13896" firstSheet="3" activeTab="5" xr2:uid="{00000000-000D-0000-FFFF-FFFF00000000}"/>
  </bookViews>
  <sheets>
    <sheet name="акфа бизнеси " sheetId="7" r:id="rId1"/>
    <sheet name="аброт ва фойда 2023" sheetId="2" r:id="rId2"/>
    <sheet name="абарот ва фойда 2024 " sheetId="3" r:id="rId3"/>
    <sheet name="абарот ва фойда 2025 " sheetId="4" r:id="rId4"/>
    <sheet name="таклиф инвестор " sheetId="8" r:id="rId5"/>
    <sheet name="пул таксими 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8" l="1"/>
  <c r="L8" i="8" s="1"/>
  <c r="J20" i="8"/>
  <c r="E5" i="4"/>
  <c r="D17" i="4"/>
  <c r="C17" i="4"/>
  <c r="E5" i="3"/>
  <c r="D17" i="3"/>
  <c r="C17" i="3"/>
  <c r="E5" i="2"/>
  <c r="D17" i="2"/>
  <c r="C17" i="2"/>
</calcChain>
</file>

<file path=xl/sharedStrings.xml><?xml version="1.0" encoding="utf-8"?>
<sst xmlns="http://schemas.openxmlformats.org/spreadsheetml/2006/main" count="126" uniqueCount="74">
  <si>
    <t xml:space="preserve">фойда </t>
  </si>
  <si>
    <t xml:space="preserve">крим пул </t>
  </si>
  <si>
    <t xml:space="preserve">товар суммаси </t>
  </si>
  <si>
    <t xml:space="preserve">транспортлар </t>
  </si>
  <si>
    <t xml:space="preserve">складларни тайорлаш </t>
  </si>
  <si>
    <t xml:space="preserve">хамкорлар жалб килиш учун харажат </t>
  </si>
  <si>
    <t xml:space="preserve">хамкорларга лимит </t>
  </si>
  <si>
    <t xml:space="preserve">топ 60 та цехавик </t>
  </si>
  <si>
    <t xml:space="preserve">ходимлар сони </t>
  </si>
  <si>
    <t xml:space="preserve">1. </t>
  </si>
  <si>
    <t xml:space="preserve">акфа бизнеси </t>
  </si>
  <si>
    <t xml:space="preserve">дтлерства АФКА КАМПАНИЯСИНИ БАРЧА ТУРДАГИ МАХСУЛОТЛАРИ УЧУН </t>
  </si>
  <si>
    <t xml:space="preserve">бизнинг асосий фаолиятимиз профилар ва аксесуар системаси ва радиаторлар сотиш </t>
  </si>
  <si>
    <t xml:space="preserve">бизнинг мижозлар 1. хамкор цехавиклар 2. абект курувчилари 3. давлат абектлари </t>
  </si>
  <si>
    <t xml:space="preserve">бизнинг филиалла сони 4 та 1. Олмалик 110 та цех 2. гулистон 110 та 3. бока 90 та 4. янги йол 90 та цехавиклар билан ишлимиз </t>
  </si>
  <si>
    <t xml:space="preserve">олмалик </t>
  </si>
  <si>
    <t xml:space="preserve">гулистон </t>
  </si>
  <si>
    <t xml:space="preserve">бока </t>
  </si>
  <si>
    <t xml:space="preserve">янги йол </t>
  </si>
  <si>
    <t>?</t>
  </si>
  <si>
    <t xml:space="preserve">транспортлар сони </t>
  </si>
  <si>
    <t xml:space="preserve">7 та газеллар бор </t>
  </si>
  <si>
    <t xml:space="preserve">товар астатка сумма </t>
  </si>
  <si>
    <t xml:space="preserve">канукрентлар </t>
  </si>
  <si>
    <t xml:space="preserve">тошкент филиаллари ангрен ва бегабод ва жизах </t>
  </si>
  <si>
    <t xml:space="preserve">бошка ишлаб чикарувчилари екопен алютекс алта пласт имкон пласт ва хоказолар </t>
  </si>
  <si>
    <t xml:space="preserve">ттошкент вилояти бозор абйоми профиларда </t>
  </si>
  <si>
    <t xml:space="preserve">сирдарйо вилояти бозори </t>
  </si>
  <si>
    <t xml:space="preserve">тошкент шахри профил бозори </t>
  </si>
  <si>
    <t>1 ойда 3 млн $</t>
  </si>
  <si>
    <t>2 млн $</t>
  </si>
  <si>
    <t>25 - 30млн $</t>
  </si>
  <si>
    <t xml:space="preserve">биз егалаганмиз 30 % </t>
  </si>
  <si>
    <t xml:space="preserve">1 % дан камрок </t>
  </si>
  <si>
    <t xml:space="preserve">профиллар кандай сотамиз </t>
  </si>
  <si>
    <t xml:space="preserve">1. колцентр оркали заказ олиниб озимиз хисобимиздан еткизилади товарлар остаткада туради </t>
  </si>
  <si>
    <t xml:space="preserve">бизнес авзалликлари </t>
  </si>
  <si>
    <t xml:space="preserve">1.АКФА беренди озбекистон бозорини егалаган ва барча инсонлар акфа профиларини ишлатишга харакат килишади </t>
  </si>
  <si>
    <t xml:space="preserve">2. акфа берди асартименти профиллар сериялари коплиги ва кулайлиги етказиб </t>
  </si>
  <si>
    <t xml:space="preserve">3. АКФА БРЕНДИ АСОСЧИСИ ЖАХОНГИР АБИДОВИЧ канкурентларни хитой ва бошка давлаиларни киргизмайди </t>
  </si>
  <si>
    <t xml:space="preserve">Алюминда 10 дан ортик канкурент пвх да 40 дан ошик канкурент бор </t>
  </si>
  <si>
    <t xml:space="preserve">4. пул тикилган масулотлар 1. $ хисобида туради курс хисобига юткизилмайли 2. профилар айнимайди зангламайди узок мудат сифатини саклаган холда туради </t>
  </si>
  <si>
    <t xml:space="preserve">5. Дакумент коринишида 100 % бугалтерия оркали товарлар кабул килиниб таркатилади </t>
  </si>
  <si>
    <t xml:space="preserve">6. курилишлар сони ортиб боряпти ва профиларга талабларам шу жумладан </t>
  </si>
  <si>
    <t xml:space="preserve">7. Биз бу сохада 7 йилдан бери фокусимизни каратганмиз </t>
  </si>
  <si>
    <t xml:space="preserve">ойлар </t>
  </si>
  <si>
    <t xml:space="preserve">айланган сумма </t>
  </si>
  <si>
    <t xml:space="preserve">ортача даромад </t>
  </si>
  <si>
    <t xml:space="preserve">январь </t>
  </si>
  <si>
    <t xml:space="preserve">февраль 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</si>
  <si>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</si>
  <si>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</si>
  <si>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</si>
  <si>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</si>
  <si>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</si>
  <si>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</si>
  <si>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</si>
  <si>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</si>
  <si>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</si>
  <si>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</si>
  <si>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умумий </t>
  </si>
  <si>
    <t xml:space="preserve">абаротда турган ортача сумма </t>
  </si>
  <si>
    <t xml:space="preserve">товар сумма </t>
  </si>
  <si>
    <t xml:space="preserve">8. сервиз хизмати яхши йолга койилган </t>
  </si>
  <si>
    <t xml:space="preserve">9.акфа бизнеси хеч качон тохтамайди курилиш тохтаса тугайди лекин курилиш хеч качон тохтамайди </t>
  </si>
  <si>
    <t xml:space="preserve">4. усталар </t>
  </si>
  <si>
    <t xml:space="preserve">бошка ишлаб чикарувчи брендлари 35 % </t>
  </si>
  <si>
    <t xml:space="preserve">филиал </t>
  </si>
  <si>
    <t xml:space="preserve">нима сабабдан ивестор таклиф киляпмиз </t>
  </si>
  <si>
    <t xml:space="preserve">4 та филиал расмлари </t>
  </si>
  <si>
    <t xml:space="preserve">умумий 4 та филиал малумотлар бирлашгани </t>
  </si>
  <si>
    <t xml:space="preserve">акфа профиларини бозор улуши  бутун озбекистон бойича 65 % ни егалаган </t>
  </si>
  <si>
    <t xml:space="preserve">акфага канкурентлар брендларини корсатиш </t>
  </si>
  <si>
    <t>3000 000 $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</si>
</sst>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9" fontId="0" fillId="0" borderId="0" xfId="0" applyNumberFormat="1"/>
    <xf numFmtId="165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horizontal="center" vertical="center"/>
    </xf>
  </cellXfs>
  <cellStyles count="3">
    <cellStyle name="Обычный" xfId="0" builtinId="0"/>
    <cellStyle name="Финансовый" xfId="1" builtinId="3"/>
    <cellStyle name="Финансовый 2" xfId="2" xr:uid="{A1B6BE18-0416-4D11-B0C4-EE0B8BB152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8749-9661-4F02-89B8-DE6326E3AA8C}">
  <dimension ref="A3:P43"/>
  <sheetViews>
    <sheetView topLeftCell="A18" workbookViewId="0">
      <selection activeCell="L27" sqref="L27"/>
    </sheetView>
  </sheetViews>
  <sheetFormatPr defaultRowHeight="14.4" x14ac:dyDescent="0.3"/>
  <cols>
    <col min="2" max="2" width="13.33203125" bestFit="1" customWidth="1"/>
  </cols>
  <sheetData>
    <row r="3" spans="1:10" x14ac:dyDescent="0.3">
      <c r="A3" t="s">
        <v>9</v>
      </c>
      <c r="B3" t="s">
        <v>10</v>
      </c>
      <c r="C3" t="s">
        <v>11</v>
      </c>
    </row>
    <row r="4" spans="1:10" x14ac:dyDescent="0.3">
      <c r="B4" t="s">
        <v>12</v>
      </c>
    </row>
    <row r="5" spans="1:10" x14ac:dyDescent="0.3">
      <c r="B5" t="s">
        <v>13</v>
      </c>
      <c r="J5" t="s">
        <v>65</v>
      </c>
    </row>
    <row r="6" spans="1:10" x14ac:dyDescent="0.3">
      <c r="B6" t="s">
        <v>14</v>
      </c>
    </row>
    <row r="7" spans="1:10" x14ac:dyDescent="0.3">
      <c r="B7" t="s">
        <v>69</v>
      </c>
    </row>
    <row r="8" spans="1:10" x14ac:dyDescent="0.3">
      <c r="B8" t="s">
        <v>8</v>
      </c>
      <c r="C8" t="s">
        <v>19</v>
      </c>
    </row>
    <row r="9" spans="1:10" x14ac:dyDescent="0.3">
      <c r="B9" t="s">
        <v>15</v>
      </c>
    </row>
    <row r="10" spans="1:10" x14ac:dyDescent="0.3">
      <c r="B10" t="s">
        <v>16</v>
      </c>
    </row>
    <row r="11" spans="1:10" x14ac:dyDescent="0.3">
      <c r="B11" t="s">
        <v>17</v>
      </c>
    </row>
    <row r="12" spans="1:10" x14ac:dyDescent="0.3">
      <c r="B12" t="s">
        <v>18</v>
      </c>
    </row>
    <row r="14" spans="1:10" x14ac:dyDescent="0.3">
      <c r="B14" t="s">
        <v>20</v>
      </c>
      <c r="D14" t="s">
        <v>21</v>
      </c>
    </row>
    <row r="16" spans="1:10" x14ac:dyDescent="0.3">
      <c r="B16" t="s">
        <v>22</v>
      </c>
    </row>
    <row r="18" spans="1:16" x14ac:dyDescent="0.3">
      <c r="B18" t="s">
        <v>70</v>
      </c>
    </row>
    <row r="20" spans="1:16" x14ac:dyDescent="0.3">
      <c r="B20" t="s">
        <v>71</v>
      </c>
      <c r="I20" t="s">
        <v>66</v>
      </c>
      <c r="N20" t="s">
        <v>72</v>
      </c>
    </row>
    <row r="22" spans="1:16" x14ac:dyDescent="0.3">
      <c r="A22" t="s">
        <v>67</v>
      </c>
      <c r="B22" t="s">
        <v>23</v>
      </c>
      <c r="C22" t="s">
        <v>24</v>
      </c>
      <c r="H22" t="s">
        <v>25</v>
      </c>
      <c r="P22" t="s">
        <v>40</v>
      </c>
    </row>
    <row r="24" spans="1:16" x14ac:dyDescent="0.3">
      <c r="B24" t="s">
        <v>26</v>
      </c>
      <c r="F24" t="s">
        <v>29</v>
      </c>
      <c r="H24" t="s">
        <v>32</v>
      </c>
    </row>
    <row r="26" spans="1:16" x14ac:dyDescent="0.3">
      <c r="B26" t="s">
        <v>27</v>
      </c>
      <c r="E26" t="s">
        <v>30</v>
      </c>
      <c r="H26" s="2">
        <v>0.3</v>
      </c>
    </row>
    <row r="28" spans="1:16" x14ac:dyDescent="0.3">
      <c r="B28" t="s">
        <v>28</v>
      </c>
      <c r="E28" t="s">
        <v>31</v>
      </c>
      <c r="H28" t="s">
        <v>33</v>
      </c>
    </row>
    <row r="30" spans="1:16" x14ac:dyDescent="0.3">
      <c r="B30" t="s">
        <v>34</v>
      </c>
    </row>
    <row r="32" spans="1:16" x14ac:dyDescent="0.3">
      <c r="B32" t="s">
        <v>35</v>
      </c>
    </row>
    <row r="34" spans="2:2" x14ac:dyDescent="0.3">
      <c r="B34" t="s">
        <v>36</v>
      </c>
    </row>
    <row r="35" spans="2:2" x14ac:dyDescent="0.3">
      <c r="B35" t="s">
        <v>37</v>
      </c>
    </row>
    <row r="36" spans="2:2" x14ac:dyDescent="0.3">
      <c r="B36" t="s">
        <v>38</v>
      </c>
    </row>
    <row r="37" spans="2:2" x14ac:dyDescent="0.3">
      <c r="B37" t="s">
        <v>39</v>
      </c>
    </row>
    <row r="38" spans="2:2" x14ac:dyDescent="0.3">
      <c r="B38" t="s">
        <v>41</v>
      </c>
    </row>
    <row r="39" spans="2:2" x14ac:dyDescent="0.3">
      <c r="B39" t="s">
        <v>42</v>
      </c>
    </row>
    <row r="40" spans="2:2" x14ac:dyDescent="0.3">
      <c r="B40" t="s">
        <v>43</v>
      </c>
    </row>
    <row r="41" spans="2:2" x14ac:dyDescent="0.3">
      <c r="B41" t="s">
        <v>44</v>
      </c>
    </row>
    <row r="42" spans="2:2" x14ac:dyDescent="0.3">
      <c r="B42" t="s">
        <v>63</v>
      </c>
    </row>
    <row r="43" spans="2:2" x14ac:dyDescent="0.3">
      <c r="B43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E787-6D65-47A5-B007-2EAAB3E7970C}">
  <dimension ref="A4:F17"/>
  <sheetViews>
    <sheetView workbookViewId="0">
      <selection activeCell="C24" sqref="C24"/>
    </sheetView>
  </sheetViews>
  <sheetFormatPr defaultRowHeight="14.4" x14ac:dyDescent="0.3"/>
  <cols>
    <col min="3" max="3" width="15.44140625" bestFit="1" customWidth="1"/>
    <col min="4" max="4" width="12.33203125" bestFit="1" customWidth="1"/>
    <col min="5" max="5" width="15.44140625" bestFit="1" customWidth="1"/>
    <col min="6" max="6" width="28.44140625" customWidth="1"/>
  </cols>
  <sheetData>
    <row r="4" spans="1:6" x14ac:dyDescent="0.3">
      <c r="B4" t="s">
        <v>45</v>
      </c>
      <c r="C4" t="s">
        <v>46</v>
      </c>
      <c r="D4" t="s">
        <v>0</v>
      </c>
      <c r="E4" t="s">
        <v>47</v>
      </c>
      <c r="F4" t="s">
        <v>61</v>
      </c>
    </row>
    <row r="5" spans="1:6" x14ac:dyDescent="0.3">
      <c r="A5">
        <v>1</v>
      </c>
      <c r="B5" t="s">
        <v>48</v>
      </c>
      <c r="C5" s="1">
        <v>10340000000</v>
      </c>
      <c r="D5" s="1">
        <v>168000000</v>
      </c>
      <c r="E5" s="3">
        <f>D17/12</f>
        <v>493500000</v>
      </c>
    </row>
    <row r="6" spans="1:6" x14ac:dyDescent="0.3">
      <c r="A6">
        <v>2</v>
      </c>
      <c r="B6" t="s">
        <v>49</v>
      </c>
      <c r="C6" s="1">
        <v>12300000000</v>
      </c>
      <c r="D6" s="1">
        <v>244000000</v>
      </c>
      <c r="E6" s="3"/>
    </row>
    <row r="7" spans="1:6" x14ac:dyDescent="0.3">
      <c r="A7">
        <v>3</v>
      </c>
      <c r="B7" t="s">
        <v>50</v>
      </c>
      <c r="C7" s="1">
        <v>13500000000</v>
      </c>
      <c r="D7" s="1">
        <v>295000000</v>
      </c>
      <c r="E7" s="3"/>
    </row>
    <row r="8" spans="1:6" x14ac:dyDescent="0.3">
      <c r="A8">
        <v>4</v>
      </c>
      <c r="B8" t="s">
        <v>51</v>
      </c>
      <c r="C8" s="1">
        <v>14700000000</v>
      </c>
      <c r="D8" s="1">
        <v>343000000</v>
      </c>
      <c r="E8" s="3"/>
    </row>
    <row r="9" spans="1:6" x14ac:dyDescent="0.3">
      <c r="A9">
        <v>5</v>
      </c>
      <c r="B9" t="s">
        <v>52</v>
      </c>
      <c r="C9" s="1">
        <v>16200000000</v>
      </c>
      <c r="D9" s="1">
        <v>498000000</v>
      </c>
      <c r="E9" s="3"/>
    </row>
    <row r="10" spans="1:6" x14ac:dyDescent="0.3">
      <c r="A10">
        <v>6</v>
      </c>
      <c r="B10" t="s">
        <v>53</v>
      </c>
      <c r="C10" s="1">
        <v>19400000000</v>
      </c>
      <c r="D10" s="1">
        <v>726000000</v>
      </c>
      <c r="E10" s="3"/>
    </row>
    <row r="11" spans="1:6" x14ac:dyDescent="0.3">
      <c r="A11">
        <v>7</v>
      </c>
      <c r="B11" t="s">
        <v>54</v>
      </c>
      <c r="C11" s="1">
        <v>16500000000</v>
      </c>
      <c r="D11" s="1">
        <v>550000000</v>
      </c>
      <c r="E11" s="3"/>
      <c r="F11" t="s">
        <v>62</v>
      </c>
    </row>
    <row r="12" spans="1:6" x14ac:dyDescent="0.3">
      <c r="A12">
        <v>8</v>
      </c>
      <c r="B12" t="s">
        <v>55</v>
      </c>
      <c r="C12" s="1">
        <v>21000000000</v>
      </c>
      <c r="D12" s="1">
        <v>755000000</v>
      </c>
      <c r="E12" s="3"/>
    </row>
    <row r="13" spans="1:6" x14ac:dyDescent="0.3">
      <c r="A13">
        <v>9</v>
      </c>
      <c r="B13" t="s">
        <v>56</v>
      </c>
      <c r="C13" s="1">
        <v>19300000000</v>
      </c>
      <c r="D13" s="1">
        <v>720000000</v>
      </c>
      <c r="E13" s="3"/>
    </row>
    <row r="14" spans="1:6" x14ac:dyDescent="0.3">
      <c r="A14">
        <v>10</v>
      </c>
      <c r="B14" t="s">
        <v>57</v>
      </c>
      <c r="C14" s="1">
        <v>20500000000</v>
      </c>
      <c r="D14" s="1">
        <v>744000000</v>
      </c>
      <c r="E14" s="3"/>
    </row>
    <row r="15" spans="1:6" x14ac:dyDescent="0.3">
      <c r="A15">
        <v>11</v>
      </c>
      <c r="B15" t="s">
        <v>58</v>
      </c>
      <c r="C15" s="1">
        <v>18500000000</v>
      </c>
      <c r="D15" s="1">
        <v>676000000</v>
      </c>
      <c r="E15" s="3"/>
    </row>
    <row r="16" spans="1:6" x14ac:dyDescent="0.3">
      <c r="A16">
        <v>12</v>
      </c>
      <c r="B16" t="s">
        <v>59</v>
      </c>
      <c r="C16" s="1">
        <v>11000000000</v>
      </c>
      <c r="D16" s="1">
        <v>203000000</v>
      </c>
      <c r="E16" s="3"/>
    </row>
    <row r="17" spans="2:5" x14ac:dyDescent="0.3">
      <c r="B17" t="s">
        <v>60</v>
      </c>
      <c r="C17" s="1">
        <f>SUM(C5:C16)</f>
        <v>193240000000</v>
      </c>
      <c r="D17" s="1">
        <f>SUM(D5:D16)</f>
        <v>5922000000</v>
      </c>
      <c r="E17" s="3"/>
    </row>
  </sheetData>
  <mergeCells count="1">
    <mergeCell ref="E5:E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8FE6-C590-4EAC-B3A0-558591152FB9}">
  <dimension ref="A4:E17"/>
  <sheetViews>
    <sheetView workbookViewId="0">
      <selection activeCell="H14" sqref="H14"/>
    </sheetView>
  </sheetViews>
  <sheetFormatPr defaultRowHeight="14.4" x14ac:dyDescent="0.3"/>
  <cols>
    <col min="3" max="3" width="15.44140625" bestFit="1" customWidth="1"/>
    <col min="4" max="4" width="12.33203125" bestFit="1" customWidth="1"/>
    <col min="5" max="5" width="15.44140625" bestFit="1" customWidth="1"/>
  </cols>
  <sheetData>
    <row r="4" spans="1:5" x14ac:dyDescent="0.3">
      <c r="B4" t="s">
        <v>45</v>
      </c>
      <c r="C4" t="s">
        <v>46</v>
      </c>
      <c r="D4" t="s">
        <v>0</v>
      </c>
      <c r="E4" t="s">
        <v>47</v>
      </c>
    </row>
    <row r="5" spans="1:5" x14ac:dyDescent="0.3">
      <c r="A5">
        <v>1</v>
      </c>
      <c r="B5" t="s">
        <v>48</v>
      </c>
      <c r="C5" s="1">
        <v>10100000000</v>
      </c>
      <c r="D5" s="1">
        <v>173000000</v>
      </c>
      <c r="E5" s="4">
        <f>D17/12</f>
        <v>385583333.33333331</v>
      </c>
    </row>
    <row r="6" spans="1:5" x14ac:dyDescent="0.3">
      <c r="A6">
        <v>2</v>
      </c>
      <c r="B6" t="s">
        <v>49</v>
      </c>
      <c r="C6" s="1">
        <v>9200000000</v>
      </c>
      <c r="D6" s="1">
        <v>112000000</v>
      </c>
      <c r="E6" s="4"/>
    </row>
    <row r="7" spans="1:5" x14ac:dyDescent="0.3">
      <c r="A7">
        <v>3</v>
      </c>
      <c r="B7" t="s">
        <v>50</v>
      </c>
      <c r="C7" s="1">
        <v>9000000000</v>
      </c>
      <c r="D7" s="1">
        <v>78000000</v>
      </c>
      <c r="E7" s="4"/>
    </row>
    <row r="8" spans="1:5" x14ac:dyDescent="0.3">
      <c r="A8">
        <v>4</v>
      </c>
      <c r="B8" t="s">
        <v>51</v>
      </c>
      <c r="C8" s="1">
        <v>11800000000</v>
      </c>
      <c r="D8" s="1">
        <v>223000000</v>
      </c>
      <c r="E8" s="4"/>
    </row>
    <row r="9" spans="1:5" x14ac:dyDescent="0.3">
      <c r="A9">
        <v>5</v>
      </c>
      <c r="B9" t="s">
        <v>52</v>
      </c>
      <c r="C9" s="1">
        <v>14700000000</v>
      </c>
      <c r="D9" s="1">
        <v>335000000</v>
      </c>
      <c r="E9" s="4"/>
    </row>
    <row r="10" spans="1:5" x14ac:dyDescent="0.3">
      <c r="A10">
        <v>6</v>
      </c>
      <c r="B10" t="s">
        <v>53</v>
      </c>
      <c r="C10" s="1">
        <v>17000000000</v>
      </c>
      <c r="D10" s="1">
        <v>568000000</v>
      </c>
      <c r="E10" s="4"/>
    </row>
    <row r="11" spans="1:5" x14ac:dyDescent="0.3">
      <c r="A11">
        <v>7</v>
      </c>
      <c r="B11" t="s">
        <v>54</v>
      </c>
      <c r="C11" s="1">
        <v>17800000000</v>
      </c>
      <c r="D11" s="1">
        <v>612000000</v>
      </c>
      <c r="E11" s="4"/>
    </row>
    <row r="12" spans="1:5" x14ac:dyDescent="0.3">
      <c r="A12">
        <v>8</v>
      </c>
      <c r="B12" t="s">
        <v>55</v>
      </c>
      <c r="C12" s="1">
        <v>16000000000</v>
      </c>
      <c r="D12" s="1">
        <v>471000000</v>
      </c>
      <c r="E12" s="4"/>
    </row>
    <row r="13" spans="1:5" x14ac:dyDescent="0.3">
      <c r="A13">
        <v>9</v>
      </c>
      <c r="B13" t="s">
        <v>56</v>
      </c>
      <c r="C13" s="1">
        <v>21200000000</v>
      </c>
      <c r="D13" s="1">
        <v>785000000</v>
      </c>
      <c r="E13" s="4"/>
    </row>
    <row r="14" spans="1:5" x14ac:dyDescent="0.3">
      <c r="A14">
        <v>10</v>
      </c>
      <c r="B14" t="s">
        <v>57</v>
      </c>
      <c r="C14" s="1">
        <v>18700000000</v>
      </c>
      <c r="D14" s="1">
        <v>684000000</v>
      </c>
      <c r="E14" s="4"/>
    </row>
    <row r="15" spans="1:5" x14ac:dyDescent="0.3">
      <c r="A15">
        <v>11</v>
      </c>
      <c r="B15" t="s">
        <v>58</v>
      </c>
      <c r="C15" s="1">
        <v>14900000000</v>
      </c>
      <c r="D15" s="1">
        <v>347000000</v>
      </c>
      <c r="E15" s="4"/>
    </row>
    <row r="16" spans="1:5" x14ac:dyDescent="0.3">
      <c r="A16">
        <v>12</v>
      </c>
      <c r="B16" t="s">
        <v>59</v>
      </c>
      <c r="C16" s="1">
        <v>11800000000</v>
      </c>
      <c r="D16" s="1">
        <v>239000000</v>
      </c>
      <c r="E16" s="4"/>
    </row>
    <row r="17" spans="2:5" x14ac:dyDescent="0.3">
      <c r="B17" t="s">
        <v>60</v>
      </c>
      <c r="C17" s="1">
        <f>SUM(C5:C16)</f>
        <v>172200000000</v>
      </c>
      <c r="D17" s="1">
        <f>SUM(D5:D16)</f>
        <v>4627000000</v>
      </c>
      <c r="E17" s="4"/>
    </row>
  </sheetData>
  <mergeCells count="1">
    <mergeCell ref="E5:E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7862-AB98-41EA-9E4F-F296FD216D0B}">
  <dimension ref="B4:E17"/>
  <sheetViews>
    <sheetView workbookViewId="0">
      <selection activeCell="A25" sqref="A25:XFD25"/>
    </sheetView>
  </sheetViews>
  <sheetFormatPr defaultRowHeight="14.4" x14ac:dyDescent="0.3"/>
  <cols>
    <col min="3" max="3" width="15.44140625" bestFit="1" customWidth="1"/>
    <col min="4" max="4" width="12.33203125" bestFit="1" customWidth="1"/>
    <col min="5" max="5" width="15.44140625" bestFit="1" customWidth="1"/>
  </cols>
  <sheetData>
    <row r="4" spans="2:5" x14ac:dyDescent="0.3">
      <c r="B4" t="s">
        <v>45</v>
      </c>
      <c r="C4" t="s">
        <v>46</v>
      </c>
      <c r="D4" t="s">
        <v>0</v>
      </c>
      <c r="E4" t="s">
        <v>47</v>
      </c>
    </row>
    <row r="5" spans="2:5" x14ac:dyDescent="0.3">
      <c r="B5" t="s">
        <v>48</v>
      </c>
      <c r="C5" s="1">
        <v>15500000000</v>
      </c>
      <c r="D5" s="1">
        <v>412000000</v>
      </c>
      <c r="E5" s="4">
        <f>D17/12</f>
        <v>216000000</v>
      </c>
    </row>
    <row r="6" spans="2:5" x14ac:dyDescent="0.3">
      <c r="B6" t="s">
        <v>49</v>
      </c>
      <c r="C6" s="1">
        <v>7300000000</v>
      </c>
      <c r="D6" s="1">
        <v>10000000</v>
      </c>
      <c r="E6" s="4"/>
    </row>
    <row r="7" spans="2:5" x14ac:dyDescent="0.3">
      <c r="B7" t="s">
        <v>50</v>
      </c>
      <c r="C7" s="1">
        <v>6800000000</v>
      </c>
      <c r="D7">
        <v>0</v>
      </c>
      <c r="E7" s="4"/>
    </row>
    <row r="8" spans="2:5" x14ac:dyDescent="0.3">
      <c r="B8" t="s">
        <v>51</v>
      </c>
      <c r="C8" s="1">
        <v>9800000000</v>
      </c>
      <c r="D8" s="1">
        <v>124000000</v>
      </c>
      <c r="E8" s="4"/>
    </row>
    <row r="9" spans="2:5" x14ac:dyDescent="0.3">
      <c r="B9" t="s">
        <v>52</v>
      </c>
      <c r="C9" s="1">
        <v>8200000000</v>
      </c>
      <c r="D9" s="1">
        <v>68000000</v>
      </c>
      <c r="E9" s="4"/>
    </row>
    <row r="10" spans="2:5" x14ac:dyDescent="0.3">
      <c r="B10" t="s">
        <v>53</v>
      </c>
      <c r="C10" s="1">
        <v>13800000000</v>
      </c>
      <c r="D10" s="1">
        <v>397000000</v>
      </c>
      <c r="E10" s="4"/>
    </row>
    <row r="11" spans="2:5" x14ac:dyDescent="0.3">
      <c r="B11" t="s">
        <v>54</v>
      </c>
      <c r="C11" s="1">
        <v>13900000000</v>
      </c>
      <c r="D11" s="1">
        <v>383000000</v>
      </c>
      <c r="E11" s="4"/>
    </row>
    <row r="12" spans="2:5" x14ac:dyDescent="0.3">
      <c r="B12" t="s">
        <v>55</v>
      </c>
      <c r="C12" s="1">
        <v>17400000000</v>
      </c>
      <c r="D12" s="1">
        <v>582000000</v>
      </c>
      <c r="E12" s="4"/>
    </row>
    <row r="13" spans="2:5" x14ac:dyDescent="0.3">
      <c r="B13" t="s">
        <v>56</v>
      </c>
      <c r="C13" s="1">
        <v>10200000000</v>
      </c>
      <c r="D13" s="1">
        <v>178000000</v>
      </c>
      <c r="E13" s="4"/>
    </row>
    <row r="14" spans="2:5" x14ac:dyDescent="0.3">
      <c r="B14" t="s">
        <v>57</v>
      </c>
      <c r="C14" s="1">
        <v>11700000000</v>
      </c>
      <c r="D14" s="1">
        <v>228000000</v>
      </c>
      <c r="E14" s="4"/>
    </row>
    <row r="15" spans="2:5" x14ac:dyDescent="0.3">
      <c r="B15" t="s">
        <v>58</v>
      </c>
      <c r="C15" s="1">
        <v>9500000000</v>
      </c>
      <c r="D15" s="1">
        <v>118000000</v>
      </c>
      <c r="E15" s="4"/>
    </row>
    <row r="16" spans="2:5" x14ac:dyDescent="0.3">
      <c r="B16" t="s">
        <v>59</v>
      </c>
      <c r="C16" s="1">
        <v>9000000000</v>
      </c>
      <c r="D16" s="1">
        <v>92000000</v>
      </c>
      <c r="E16" s="4"/>
    </row>
    <row r="17" spans="2:5" x14ac:dyDescent="0.3">
      <c r="B17" t="s">
        <v>60</v>
      </c>
      <c r="C17" s="1">
        <f>SUM(C5:C16)</f>
        <v>133100000000</v>
      </c>
      <c r="D17" s="1">
        <f>SUM(D5:D16)</f>
        <v>2592000000</v>
      </c>
      <c r="E17" s="4"/>
    </row>
  </sheetData>
  <mergeCells count="1">
    <mergeCell ref="E5:E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D629-E4BA-4E2D-A007-37953EC7A328}">
  <dimension ref="B4:M20"/>
  <sheetViews>
    <sheetView workbookViewId="0">
      <selection activeCell="M15" sqref="M15"/>
    </sheetView>
  </sheetViews>
  <sheetFormatPr defaultRowHeight="14.4" x14ac:dyDescent="0.3"/>
  <cols>
    <col min="3" max="3" width="8.77734375" bestFit="1" customWidth="1"/>
    <col min="4" max="4" width="14.44140625" bestFit="1" customWidth="1"/>
    <col min="5" max="5" width="12.33203125" bestFit="1" customWidth="1"/>
    <col min="10" max="10" width="15.44140625" bestFit="1" customWidth="1"/>
    <col min="11" max="11" width="12.33203125" bestFit="1" customWidth="1"/>
    <col min="12" max="12" width="15.44140625" bestFit="1" customWidth="1"/>
    <col min="13" max="13" width="28" bestFit="1" customWidth="1"/>
  </cols>
  <sheetData>
    <row r="4" spans="2:13" x14ac:dyDescent="0.3">
      <c r="B4" t="s">
        <v>68</v>
      </c>
    </row>
    <row r="7" spans="2:13" x14ac:dyDescent="0.3">
      <c r="I7" t="s">
        <v>45</v>
      </c>
      <c r="J7" t="s">
        <v>46</v>
      </c>
      <c r="K7" t="s">
        <v>0</v>
      </c>
      <c r="L7" t="s">
        <v>47</v>
      </c>
      <c r="M7" t="s">
        <v>61</v>
      </c>
    </row>
    <row r="8" spans="2:13" x14ac:dyDescent="0.3">
      <c r="D8" s="1"/>
      <c r="E8" s="1"/>
      <c r="H8">
        <v>1</v>
      </c>
      <c r="I8" t="s">
        <v>48</v>
      </c>
      <c r="J8" s="1">
        <v>16000000000</v>
      </c>
      <c r="K8" s="1">
        <v>420000000</v>
      </c>
      <c r="L8" s="3">
        <f>K20/12</f>
        <v>745000000</v>
      </c>
    </row>
    <row r="9" spans="2:13" x14ac:dyDescent="0.3">
      <c r="D9" s="1"/>
      <c r="E9" s="1"/>
      <c r="H9">
        <v>2</v>
      </c>
      <c r="I9" t="s">
        <v>49</v>
      </c>
      <c r="J9" s="1">
        <v>17000000000</v>
      </c>
      <c r="K9" s="1">
        <v>460000000</v>
      </c>
      <c r="L9" s="3"/>
    </row>
    <row r="10" spans="2:13" x14ac:dyDescent="0.3">
      <c r="D10" s="1"/>
      <c r="E10" s="1"/>
      <c r="H10">
        <v>3</v>
      </c>
      <c r="I10" t="s">
        <v>50</v>
      </c>
      <c r="J10" s="1">
        <v>18000000000</v>
      </c>
      <c r="K10" s="1">
        <v>500000000</v>
      </c>
      <c r="L10" s="3"/>
    </row>
    <row r="11" spans="2:13" x14ac:dyDescent="0.3">
      <c r="D11" s="1"/>
      <c r="E11" s="1"/>
      <c r="H11">
        <v>4</v>
      </c>
      <c r="I11" t="s">
        <v>51</v>
      </c>
      <c r="J11" s="1">
        <v>21000000000</v>
      </c>
      <c r="K11" s="1">
        <v>620000000</v>
      </c>
      <c r="L11" s="3"/>
    </row>
    <row r="12" spans="2:13" x14ac:dyDescent="0.3">
      <c r="D12" s="1"/>
      <c r="E12" s="1"/>
      <c r="H12">
        <v>5</v>
      </c>
      <c r="I12" t="s">
        <v>52</v>
      </c>
      <c r="J12" s="1">
        <v>24000000000</v>
      </c>
      <c r="K12" s="1">
        <v>820000000</v>
      </c>
      <c r="L12" s="3"/>
    </row>
    <row r="13" spans="2:13" x14ac:dyDescent="0.3">
      <c r="D13" s="1"/>
      <c r="E13" s="1"/>
      <c r="H13">
        <v>6</v>
      </c>
      <c r="I13" t="s">
        <v>53</v>
      </c>
      <c r="J13" s="1">
        <v>26000000000</v>
      </c>
      <c r="K13" s="1">
        <v>900000000</v>
      </c>
      <c r="L13" s="3"/>
    </row>
    <row r="14" spans="2:13" x14ac:dyDescent="0.3">
      <c r="D14" s="1"/>
      <c r="E14" s="1"/>
      <c r="H14">
        <v>7</v>
      </c>
      <c r="I14" t="s">
        <v>54</v>
      </c>
      <c r="J14" s="1">
        <v>27000000000</v>
      </c>
      <c r="K14" s="1">
        <v>940000000</v>
      </c>
      <c r="L14" s="3"/>
      <c r="M14" t="s">
        <v>73</v>
      </c>
    </row>
    <row r="15" spans="2:13" x14ac:dyDescent="0.3">
      <c r="D15" s="1"/>
      <c r="E15" s="1"/>
      <c r="H15">
        <v>8</v>
      </c>
      <c r="I15" t="s">
        <v>55</v>
      </c>
      <c r="J15" s="1">
        <v>30000000000</v>
      </c>
      <c r="K15" s="1">
        <v>1060000000</v>
      </c>
      <c r="L15" s="3"/>
    </row>
    <row r="16" spans="2:13" x14ac:dyDescent="0.3">
      <c r="D16" s="1"/>
      <c r="E16" s="1"/>
      <c r="H16">
        <v>9</v>
      </c>
      <c r="I16" t="s">
        <v>56</v>
      </c>
      <c r="J16" s="1">
        <v>30000000000</v>
      </c>
      <c r="K16" s="1">
        <v>1060000000</v>
      </c>
      <c r="L16" s="3"/>
    </row>
    <row r="17" spans="4:12" x14ac:dyDescent="0.3">
      <c r="D17" s="1"/>
      <c r="E17" s="1"/>
      <c r="H17">
        <v>10</v>
      </c>
      <c r="I17" t="s">
        <v>57</v>
      </c>
      <c r="J17" s="1">
        <v>26000000000</v>
      </c>
      <c r="K17" s="1">
        <v>900000000</v>
      </c>
      <c r="L17" s="3"/>
    </row>
    <row r="18" spans="4:12" x14ac:dyDescent="0.3">
      <c r="D18" s="1"/>
      <c r="E18" s="1"/>
      <c r="H18">
        <v>11</v>
      </c>
      <c r="I18" t="s">
        <v>58</v>
      </c>
      <c r="J18" s="1">
        <v>23000000000</v>
      </c>
      <c r="K18" s="1">
        <v>780000000</v>
      </c>
      <c r="L18" s="3"/>
    </row>
    <row r="19" spans="4:12" x14ac:dyDescent="0.3">
      <c r="D19" s="1"/>
      <c r="E19" s="1"/>
      <c r="H19">
        <v>12</v>
      </c>
      <c r="I19" t="s">
        <v>59</v>
      </c>
      <c r="J19" s="1">
        <v>18000000000</v>
      </c>
      <c r="K19" s="1">
        <v>480000000</v>
      </c>
      <c r="L19" s="3"/>
    </row>
    <row r="20" spans="4:12" x14ac:dyDescent="0.3">
      <c r="D20" s="1"/>
      <c r="E20" s="1"/>
      <c r="I20" t="s">
        <v>60</v>
      </c>
      <c r="J20" s="1">
        <f>SUM(J8:J19)</f>
        <v>276000000000</v>
      </c>
      <c r="K20" s="1">
        <f>SUM(K8:K19)</f>
        <v>8940000000</v>
      </c>
      <c r="L20" s="3"/>
    </row>
  </sheetData>
  <mergeCells count="1">
    <mergeCell ref="L8:L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D01E-8BAF-4608-BC5C-8A1FD06ADF85}">
  <dimension ref="B3:D8"/>
  <sheetViews>
    <sheetView tabSelected="1" workbookViewId="0">
      <selection activeCell="D18" sqref="D18"/>
    </sheetView>
  </sheetViews>
  <sheetFormatPr defaultRowHeight="14.4" x14ac:dyDescent="0.3"/>
  <cols>
    <col min="2" max="2" width="33.88671875" bestFit="1" customWidth="1"/>
  </cols>
  <sheetData>
    <row r="3" spans="2:4" x14ac:dyDescent="0.3">
      <c r="B3" t="s">
        <v>1</v>
      </c>
      <c r="C3" s="1">
        <v>2000000</v>
      </c>
    </row>
    <row r="4" spans="2:4" x14ac:dyDescent="0.3">
      <c r="B4" t="s">
        <v>2</v>
      </c>
      <c r="C4" s="1">
        <v>1500000</v>
      </c>
    </row>
    <row r="5" spans="2:4" x14ac:dyDescent="0.3">
      <c r="B5" t="s">
        <v>3</v>
      </c>
      <c r="C5" s="1">
        <v>100000</v>
      </c>
    </row>
    <row r="6" spans="2:4" x14ac:dyDescent="0.3">
      <c r="B6" t="s">
        <v>4</v>
      </c>
      <c r="C6" s="1">
        <v>20000</v>
      </c>
    </row>
    <row r="7" spans="2:4" x14ac:dyDescent="0.3">
      <c r="B7" t="s">
        <v>5</v>
      </c>
      <c r="C7" s="1">
        <v>20000</v>
      </c>
    </row>
    <row r="8" spans="2:4" x14ac:dyDescent="0.3">
      <c r="B8" t="s">
        <v>6</v>
      </c>
      <c r="C8" s="1">
        <v>300000</v>
      </c>
      <c r="D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акфа бизнеси </vt:lpstr>
      <vt:lpstr>аброт ва фойда 2023</vt:lpstr>
      <vt:lpstr>абарот ва фойда 2024 </vt:lpstr>
      <vt:lpstr>абарот ва фойда 2025 </vt:lpstr>
      <vt:lpstr>таклиф инвестор </vt:lpstr>
      <vt:lpstr>пул таксими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Pawn1</dc:creator>
  <cp:lastModifiedBy>ilhomabdilhaev@gmail.com</cp:lastModifiedBy>
  <dcterms:created xsi:type="dcterms:W3CDTF">2015-06-05T18:17:20Z</dcterms:created>
  <dcterms:modified xsi:type="dcterms:W3CDTF">2026-10-12T09:09:52Z</dcterms:modified>
</cp:coreProperties>
</file>